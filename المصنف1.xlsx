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ورقة1" sheetId="1" state="visible" r:id="rId3"/>
    <sheet name="ورقة2" sheetId="2" state="visible" r:id="rId4"/>
    <sheet name="ورقة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<sst xmlns="http://schemas.openxmlformats.org/spreadsheetml/2006/main" count="58" uniqueCount="58">
  <si>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Type</t>
  </si>
  <si>
    <t xml:space="preserve">Current Situation / Considerations</t>
  </si>
  <si>
    <t xml:space="preserve">Proposed Solution / Benefits</t>
  </si>
  <si>
    <t xml:space="preserve">Feasibility Result</t>
  </si>
  <si>
    <t xml:space="preserve">Technical</t>
  </si>
  <si>
    <t xml:space="preserve">No dedicated system: document expiry dates are kept in memory, phone notes and paper folders; no automatic alerts.</t>
  </si>
  <si>
    <t xml:space="preserve">Web / mobile-friendly system (HTML, CSS, JavaScript front end; Node.js or PHP back end; MySQL database) with a daily scheduler and e-mail / SMS / push notification APIs; cloud hosting and backup.</t>
  </si>
  <si>
    <t xml:space="preserve">✅ Technically feasible</t>
  </si>
  <si>
    <t xml:space="preserve">Operational</t>
  </si>
  <si>
    <t xml:space="preserve">Users forget renewal dates; family members' documents are neglected; reminders are manual and set only once.</t>
  </si>
  <si>
    <t xml:space="preserve">Automatic multi-stage reminders (90, 60, 30, 14, 7 days), colour-coded dashboard, family accounts and admin panel; simple interface in Arabic and English.</t>
  </si>
  <si>
    <t xml:space="preserve">✅ Operationally feasible</t>
  </si>
  <si>
    <t xml:space="preserve">Economic</t>
  </si>
  <si>
    <t xml:space="preserve">Late-renewal fines, cancelled trips and lost time; no cost for tracking today but high cost of mistakes.</t>
  </si>
  <si>
    <t xml:space="preserve">Estimated year-1 cost 22,500 EGP vs. benefits 60,000 EGP (fines avoided, premium plans, partner ads); payback about 4.5 months.</t>
  </si>
  <si>
    <t xml:space="preserve">✅ Cost-effective</t>
  </si>
  <si>
    <t xml:space="preserve">Legal</t>
  </si>
  <si>
    <t xml:space="preserve">Personal document data must be protected; user consent and privacy laws apply.</t>
  </si>
  <si>
    <t xml:space="preserve">Encrypt stored data, role-based access control, user consent, privacy policy, and deletion of data at the user's request.</t>
  </si>
  <si>
    <t xml:space="preserve">✅ Legally feasible</t>
  </si>
  <si>
    <t xml:space="preserve">Schedule</t>
  </si>
  <si>
    <t xml:space="preserve">Manual tracking causes missed deadlines and delayed renewals.</t>
  </si>
  <si>
    <t xml:space="preserve">Estimated timeline 80 calendar days (19/10/2026 - 06/01/2027): planning 12, analysis 16, design 28, implementation 24 days.</t>
  </si>
  <si>
    <t xml:space="preserve">✅ Achievable timeline</t>
  </si>
  <si>
    <t xml:space="preserve">Cost–Benefit Analysis – Personal Document Expiration Reminder System (EGP, estimates)</t>
  </si>
  <si>
    <t xml:space="preserve">Category</t>
  </si>
  <si>
    <t xml:space="preserve">Description</t>
  </si>
  <si>
    <t xml:space="preserve">Estimated Cost</t>
  </si>
  <si>
    <t xml:space="preserve">Benefits</t>
  </si>
  <si>
    <t xml:space="preserve">Estimated Value (per year)</t>
  </si>
  <si>
    <t xml:space="preserve">Benefit Source</t>
  </si>
  <si>
    <t xml:space="preserve">Software &amp; Hosting</t>
  </si>
  <si>
    <t xml:space="preserve">Domain and hosting setup (3,000) + yearly hosting and domain renewal (4,000)</t>
  </si>
  <si>
    <t xml:space="preserve">Centralized system with a daily automatic expiry check; available from any device.</t>
  </si>
  <si>
    <t xml:space="preserve">Late-renewal fines avoided by users</t>
  </si>
  <si>
    <t xml:space="preserve">Notification Services</t>
  </si>
  <si>
    <t xml:space="preserve">E-mail / SMS gateway setup (2,000) + yearly SMS credits (6,000)</t>
  </si>
  <si>
    <t xml:space="preserve">Timely reminders by e-mail, SMS and push notification.</t>
  </si>
  <si>
    <t xml:space="preserve">Premium subscriptions (about 500 users x 60 EGP)</t>
  </si>
  <si>
    <t xml:space="preserve">Testing &amp; Training</t>
  </si>
  <si>
    <t xml:space="preserve">Testing, security review and user training</t>
  </si>
  <si>
    <t xml:space="preserve">Smooth adoption and fewer user errors.</t>
  </si>
  <si>
    <t xml:space="preserve">Supports the benefits above (not valued separately)</t>
  </si>
  <si>
    <t xml:space="preserve">Maintenance</t>
  </si>
  <si>
    <t xml:space="preserve">Yearly updates, bug fixes and support</t>
  </si>
  <si>
    <t xml:space="preserve">Keeps the system reliable and secure.</t>
  </si>
  <si>
    <t xml:space="preserve">Sponsored / partner advertising</t>
  </si>
  <si>
    <t xml:space="preserve">Development Labour</t>
  </si>
  <si>
    <t xml:space="preserve">Student project team (in-kind contribution)</t>
  </si>
  <si>
    <t xml:space="preserve">No paid developers needed.</t>
  </si>
  <si>
    <t xml:space="preserve">Not valued</t>
  </si>
  <si>
    <t xml:space="preserve">User Experience</t>
  </si>
  <si>
    <t xml:space="preserve">Documents kept in scattered notes and folders; searching wastes time</t>
  </si>
  <si>
    <t xml:space="preserve">–</t>
  </si>
  <si>
    <t xml:space="preserve">One dashboard, less stress, fewer missed trips and services.</t>
  </si>
  <si>
    <t xml:space="preserve">Intangible but high value</t>
  </si>
  <si>
    <t xml:space="preserve">## Summary</t>
  </si>
  <si>
    <t xml:space="preserve">Conclusion: The Personal Document Expiration Reminder System is economically feasible, with clear savings from avoided fines and long-term value.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</si>
</sst>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EGP&quot;"/>
  </numFmts>
  <fonts count="4">
    <font>
      <sz val="11"/>
      <color theme="1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D12"/>
  <sheetViews>
    <sheetView showFormulas="false" showGridLines="true" showRowColHeaders="true" showZeros="true" rightToLeft="true" tabSelected="false" showOutlineSymbols="true" defaultGridColor="true" view="normal" topLeftCell="B1" colorId="64" zoomScale="100" zoomScaleNormal="100" zoomScalePageLayoutView="100" workbookViewId="0">
      <selection pane="topLeft" activeCell="C12" activeCellId="0" sqref="C12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65.62"/>
    <col collapsed="false" customWidth="true" hidden="false" outlineLevel="0" max="3" min="3" style="0" width="68.12"/>
    <col collapsed="false" customWidth="true" hidden="false" outlineLevel="0" max="4" min="4" style="0" width="20.38"/>
  </cols>
  <sheetData>
    <row r="7" customFormat="false" ht="14.25" hidden="false" customHeight="false" outlineLevel="0" collapsed="false">
      <c r="A7" s="0" t="s">
        <v>0</v>
      </c>
      <c r="B7" s="0" t="s">
        <v>1</v>
      </c>
      <c r="C7" s="0" t="s">
        <v>2</v>
      </c>
      <c r="D7" s="0" t="s">
        <v>3</v>
      </c>
    </row>
    <row r="8" customFormat="false" ht="14.25" hidden="false" customHeight="false" outlineLevel="0" collapsed="false">
      <c r="A8" s="0" t="s">
        <v>4</v>
      </c>
      <c r="B8" s="0" t="s">
        <v>5</v>
      </c>
      <c r="C8" s="0" t="s">
        <v>6</v>
      </c>
      <c r="D8" s="0" t="s">
        <v>7</v>
      </c>
    </row>
    <row r="9" customFormat="false" ht="14.2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11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0" t="s">
        <v>14</v>
      </c>
      <c r="D10" s="0" t="s">
        <v>15</v>
      </c>
    </row>
    <row r="11" customFormat="false" ht="14.25" hidden="false" customHeight="false" outlineLevel="0" collapsed="false">
      <c r="A11" s="0" t="s">
        <v>16</v>
      </c>
      <c r="B11" s="0" t="s">
        <v>17</v>
      </c>
      <c r="C11" s="0" t="s">
        <v>18</v>
      </c>
      <c r="D11" s="0" t="s">
        <v>19</v>
      </c>
    </row>
    <row r="12" customFormat="false" ht="14.25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H2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171875" defaultRowHeight="14.25" zeroHeight="false" outlineLevelRow="0" outlineLevelCol="0"/>
  <cols>
    <col collapsed="false" customWidth="true" hidden="false" outlineLevel="0" max="1" min="1" style="0" width="17.12"/>
    <col collapsed="false" customWidth="true" hidden="false" outlineLevel="0" max="2" min="2" style="0" width="60.25"/>
    <col collapsed="false" customWidth="true" hidden="false" outlineLevel="0" max="3" min="3" style="0" width="18"/>
    <col collapsed="false" customWidth="true" hidden="false" outlineLevel="0" max="4" min="4" style="0" width="33.76"/>
    <col collapsed="false" customWidth="true" hidden="false" outlineLevel="0" max="5" min="5" style="0" width="18"/>
    <col collapsed="false" customWidth="true" hidden="false" outlineLevel="0" max="6" min="6" style="0" width="44"/>
  </cols>
  <sheetData>
    <row r="5" customFormat="false" ht="14.25" hidden="false" customHeight="false" outlineLevel="0" collapsed="false">
      <c r="H5" s="0" t="s">
        <v>24</v>
      </c>
    </row>
    <row r="7" customFormat="false" ht="14.25" hidden="false" customHeight="false" outlineLevel="0" collapsed="false">
      <c r="A7" s="0" t="s">
        <v>25</v>
      </c>
      <c r="B7" s="0" t="s">
        <v>26</v>
      </c>
      <c r="C7" s="0" t="s">
        <v>27</v>
      </c>
      <c r="D7" s="0" t="s">
        <v>28</v>
      </c>
      <c r="E7" s="0" t="s">
        <v>29</v>
      </c>
      <c r="F7" s="0" t="s">
        <v>30</v>
      </c>
    </row>
    <row r="8" customFormat="false" ht="14.25" hidden="false" customHeight="false" outlineLevel="0" collapsed="false">
      <c r="A8" s="0" t="s">
        <v>31</v>
      </c>
      <c r="B8" s="0" t="s">
        <v>32</v>
      </c>
      <c r="C8" s="1" t="n">
        <v>7000</v>
      </c>
      <c r="D8" s="2" t="s">
        <v>33</v>
      </c>
      <c r="E8" s="1" t="n">
        <v>25000</v>
      </c>
      <c r="F8" s="2" t="s">
        <v>34</v>
      </c>
    </row>
    <row r="9" customFormat="false" ht="14.25" hidden="false" customHeight="false" outlineLevel="0" collapsed="false">
      <c r="A9" s="0" t="s">
        <v>35</v>
      </c>
      <c r="B9" s="0" t="s">
        <v>36</v>
      </c>
      <c r="C9" s="1" t="n">
        <v>8000</v>
      </c>
      <c r="D9" s="2" t="s">
        <v>37</v>
      </c>
      <c r="E9" s="1" t="n">
        <v>30000</v>
      </c>
      <c r="F9" s="2" t="s">
        <v>38</v>
      </c>
    </row>
    <row r="10" customFormat="false" ht="14.25" hidden="false" customHeight="false" outlineLevel="0" collapsed="false">
      <c r="A10" s="0" t="s">
        <v>39</v>
      </c>
      <c r="B10" s="0" t="s">
        <v>40</v>
      </c>
      <c r="C10" s="1" t="n">
        <v>2500</v>
      </c>
      <c r="D10" s="2" t="s">
        <v>41</v>
      </c>
      <c r="E10" s="2" t="s">
        <v>42</v>
      </c>
    </row>
    <row r="11" customFormat="false" ht="14.25" hidden="false" customHeight="false" outlineLevel="0" collapsed="false">
      <c r="A11" s="0" t="s">
        <v>43</v>
      </c>
      <c r="B11" s="0" t="s">
        <v>44</v>
      </c>
      <c r="C11" s="1" t="n">
        <v>5000</v>
      </c>
      <c r="D11" s="2" t="s">
        <v>45</v>
      </c>
      <c r="E11" s="1" t="n">
        <v>5000</v>
      </c>
      <c r="F11" s="2" t="s">
        <v>46</v>
      </c>
    </row>
    <row r="12" customFormat="false" ht="14.25" hidden="false" customHeight="false" outlineLevel="0" collapsed="false">
      <c r="A12" s="0" t="s">
        <v>47</v>
      </c>
      <c r="B12" s="0" t="s">
        <v>48</v>
      </c>
      <c r="C12" s="1" t="n">
        <v>0</v>
      </c>
      <c r="D12" s="2" t="s">
        <v>49</v>
      </c>
      <c r="E12" s="2" t="s">
        <v>50</v>
      </c>
    </row>
    <row r="13" customFormat="false" ht="14.25" hidden="false" customHeight="false" outlineLevel="0" collapsed="false">
      <c r="A13" s="0" t="s">
        <v>51</v>
      </c>
      <c r="B13" s="0" t="s">
        <v>52</v>
      </c>
      <c r="C13" s="0" t="s">
        <v>53</v>
      </c>
      <c r="D13" s="0" t="s">
        <v>54</v>
      </c>
      <c r="E13" s="0" t="s">
        <v>55</v>
      </c>
    </row>
    <row r="18" customFormat="false" ht="14.25" hidden="false" customHeight="false" outlineLevel="0" collapsed="false">
      <c r="H18" s="0" t="s">
        <v>56</v>
      </c>
    </row>
    <row r="20" customFormat="false" ht="14.25" hidden="false" customHeight="false" outlineLevel="0" collapsed="false">
      <c r="H20" s="0" t="str">
        <f aca="false">"Total Estimated Costs (first year): "&amp;TEXT(SUM(C8:C13),"#,##0")&amp;" EGP"</f>
        <v>Total Estimated Costs (first year): 22,500 EGP</v>
      </c>
    </row>
    <row r="21" customFormat="false" ht="14.25" hidden="false" customHeight="false" outlineLevel="0" collapsed="false">
      <c r="H21" s="0" t="str">
        <f aca="false">"Total Estimated Annual Benefits/Savings: "&amp;TEXT(SUM(E8:E13),"#,##0")&amp;" EGP"</f>
        <v>Total Estimated Annual Benefits/Savings: 60,000 EGP</v>
      </c>
    </row>
    <row r="22" customFormat="false" ht="14.25" hidden="false" customHeight="false" outlineLevel="0" collapsed="false">
      <c r="H22" s="0" t="str">
        <f aca="false">"Payback Period: about "&amp;TEXT(SUM(C8:C13)/(SUM(E8:E13)/12),"0.0")&amp;" months"</f>
        <v>Payback Period: about 4.5 months</v>
      </c>
    </row>
    <row r="23" customFormat="false" ht="14.25" hidden="false" customHeight="false" outlineLevel="0" collapsed="false">
      <c r="H23" s="0" t="str">
        <f aca="false">"Net benefit (Year 1): "&amp;TEXT(SUM(E8:E13)-SUM(C8:C13),"#,##0")&amp;" EGP  |  ROI: "&amp;TEXT((SUM(E8:E13)-SUM(C8:C13))/SUM(C8:C13),"0%")</f>
        <v>Net benefit (Year 1): 37,500 EGP  |  ROI: 167%</v>
      </c>
    </row>
    <row r="24" customFormat="false" ht="14.25" hidden="false" customHeight="false" outlineLevel="0" collapsed="false">
      <c r="H24" s="0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2025-10-04T05:40:21Z</dcterms:created>
  <dc:creator>NILE NEW</dc:creator>
  <dc:description/>
  <dc:language>en-US</dc:language>
  <cp:lastModifiedBy>NILE NEW</cp:lastModifiedBy>
  <dcterms:modified xsi:type="dcterms:W3CDTF">2026-10-16T17:00:35Z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